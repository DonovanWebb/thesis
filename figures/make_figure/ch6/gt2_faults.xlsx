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bbd\Documents\phd\Scratch\thesis\figures\make_figure\ch6\"/>
    </mc:Choice>
  </mc:AlternateContent>
  <xr:revisionPtr revIDLastSave="0" documentId="8_{235427D5-8E02-47F7-9C18-F6CBB636DF1D}" xr6:coauthVersionLast="47" xr6:coauthVersionMax="47" xr10:uidLastSave="{00000000-0000-0000-0000-000000000000}"/>
  <bookViews>
    <workbookView xWindow="-120" yWindow="-120" windowWidth="29040" windowHeight="15720" xr2:uid="{B4A4E68B-17ED-4F5A-914A-9487692885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" i="1" l="1"/>
  <c r="F12" i="1"/>
  <c r="F13" i="1"/>
  <c r="F10" i="1"/>
  <c r="H9" i="1"/>
  <c r="J9" i="1" s="1"/>
  <c r="G9" i="1"/>
  <c r="I11" i="1"/>
  <c r="I12" i="1"/>
  <c r="I13" i="1"/>
  <c r="I10" i="1"/>
  <c r="H11" i="1"/>
  <c r="H12" i="1"/>
  <c r="H13" i="1"/>
  <c r="E11" i="1"/>
  <c r="G11" i="1" s="1"/>
  <c r="E12" i="1"/>
  <c r="G12" i="1" s="1"/>
  <c r="E13" i="1"/>
  <c r="G13" i="1" s="1"/>
  <c r="E10" i="1"/>
  <c r="H10" i="1" s="1"/>
  <c r="J10" i="1" l="1"/>
  <c r="J13" i="1"/>
  <c r="J12" i="1"/>
  <c r="J11" i="1"/>
  <c r="G10" i="1"/>
</calcChain>
</file>

<file path=xl/sharedStrings.xml><?xml version="1.0" encoding="utf-8"?>
<sst xmlns="http://schemas.openxmlformats.org/spreadsheetml/2006/main" count="12" uniqueCount="11">
  <si>
    <t>n</t>
  </si>
  <si>
    <t>Num MS</t>
  </si>
  <si>
    <t>Tot MS</t>
  </si>
  <si>
    <t>F MS</t>
  </si>
  <si>
    <t>Num SQ</t>
  </si>
  <si>
    <t>F S</t>
  </si>
  <si>
    <t>#errors MS</t>
  </si>
  <si>
    <t>#errors SQ</t>
  </si>
  <si>
    <t># tot</t>
  </si>
  <si>
    <t>B</t>
  </si>
  <si>
    <t>Tot SQG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</si>
</sst>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C620D-45E9-4FD3-8F59-1764FF7D09C2}">
  <dimension ref="B4:J13"/>
  <sheetViews>
    <sheetView tabSelected="1" workbookViewId="0">
      <selection activeCell="S10" sqref="S10"/>
    </sheetView>
  </sheetViews>
  <sheetFormatPr defaultRowHeight="15" x14ac:dyDescent="0.25"/>
  <cols>
    <col min="7" max="7" width="13.140625" customWidth="1"/>
    <col min="8" max="8" width="10.140625" bestFit="1" customWidth="1"/>
  </cols>
  <sheetData>
    <row r="4" spans="2:10" x14ac:dyDescent="0.25">
      <c r="B4" t="s">
        <v>1</v>
      </c>
      <c r="C4">
        <v>11</v>
      </c>
      <c r="E4" t="s">
        <v>4</v>
      </c>
      <c r="F4">
        <v>7</v>
      </c>
    </row>
    <row r="5" spans="2:10" x14ac:dyDescent="0.25">
      <c r="B5" t="s">
        <v>3</v>
      </c>
      <c r="C5">
        <v>0.99</v>
      </c>
      <c r="E5" t="s">
        <v>5</v>
      </c>
      <c r="F5">
        <v>0.999</v>
      </c>
    </row>
    <row r="8" spans="2:10" x14ac:dyDescent="0.25">
      <c r="D8" t="s">
        <v>0</v>
      </c>
      <c r="E8" t="s">
        <v>2</v>
      </c>
      <c r="F8" t="s">
        <v>10</v>
      </c>
      <c r="G8" t="s">
        <v>3</v>
      </c>
      <c r="H8" t="s">
        <v>6</v>
      </c>
      <c r="I8" t="s">
        <v>7</v>
      </c>
      <c r="J8" t="s">
        <v>8</v>
      </c>
    </row>
    <row r="9" spans="2:10" x14ac:dyDescent="0.25">
      <c r="C9" t="s">
        <v>9</v>
      </c>
      <c r="D9">
        <v>2</v>
      </c>
      <c r="E9">
        <v>2</v>
      </c>
      <c r="F9">
        <v>0</v>
      </c>
      <c r="G9">
        <f>C$5^E9</f>
        <v>0.98009999999999997</v>
      </c>
      <c r="H9">
        <f>E9*(1-C$5)</f>
        <v>2.0000000000000018E-2</v>
      </c>
      <c r="I9">
        <v>0</v>
      </c>
      <c r="J9">
        <f>H9+I9</f>
        <v>2.0000000000000018E-2</v>
      </c>
    </row>
    <row r="10" spans="2:10" x14ac:dyDescent="0.25">
      <c r="D10">
        <v>2</v>
      </c>
      <c r="E10">
        <f>(D10-1)*C$4</f>
        <v>11</v>
      </c>
      <c r="F10">
        <f>(D10-1)*F$4</f>
        <v>7</v>
      </c>
      <c r="G10">
        <f>C$5^E10</f>
        <v>0.89533825425871627</v>
      </c>
      <c r="H10">
        <f>E10*(1-C$5)</f>
        <v>0.1100000000000001</v>
      </c>
      <c r="I10">
        <f>(D10-1)*F$4*(1-F$5)</f>
        <v>7.0000000000000062E-3</v>
      </c>
      <c r="J10">
        <f>H10+I10</f>
        <v>0.1170000000000001</v>
      </c>
    </row>
    <row r="11" spans="2:10" x14ac:dyDescent="0.25">
      <c r="D11">
        <v>3</v>
      </c>
      <c r="E11">
        <f>(D11-1)*C$4</f>
        <v>22</v>
      </c>
      <c r="F11">
        <f t="shared" ref="F11:F13" si="0">(D11-1)*F$4</f>
        <v>14</v>
      </c>
      <c r="G11">
        <f>C$5^E11</f>
        <v>0.80163058953904565</v>
      </c>
      <c r="H11">
        <f>E11*(1-C$5)</f>
        <v>0.2200000000000002</v>
      </c>
      <c r="I11">
        <f>(D11-1)*F$4*(1-F$5)</f>
        <v>1.4000000000000012E-2</v>
      </c>
      <c r="J11">
        <f t="shared" ref="J11:J13" si="1">H11+I11</f>
        <v>0.23400000000000021</v>
      </c>
    </row>
    <row r="12" spans="2:10" x14ac:dyDescent="0.25">
      <c r="D12">
        <v>4</v>
      </c>
      <c r="E12">
        <f>(D12-1)*C$4</f>
        <v>33</v>
      </c>
      <c r="F12">
        <f t="shared" si="0"/>
        <v>21</v>
      </c>
      <c r="G12">
        <f>C$5^E12</f>
        <v>0.71773053259827468</v>
      </c>
      <c r="H12">
        <f>E12*(1-C$5)</f>
        <v>0.33000000000000029</v>
      </c>
      <c r="I12">
        <f>(D12-1)*F$4*(1-F$5)</f>
        <v>2.1000000000000019E-2</v>
      </c>
      <c r="J12">
        <f t="shared" si="1"/>
        <v>0.35100000000000031</v>
      </c>
    </row>
    <row r="13" spans="2:10" x14ac:dyDescent="0.25">
      <c r="D13">
        <v>5</v>
      </c>
      <c r="E13">
        <f>(D13-1)*C$4</f>
        <v>44</v>
      </c>
      <c r="F13">
        <f t="shared" si="0"/>
        <v>28</v>
      </c>
      <c r="G13">
        <f>C$5^E13</f>
        <v>0.64261160208471801</v>
      </c>
      <c r="H13">
        <f>E13*(1-C$5)</f>
        <v>0.44000000000000039</v>
      </c>
      <c r="I13">
        <f>(D13-1)*F$4*(1-F$5)</f>
        <v>2.8000000000000025E-2</v>
      </c>
      <c r="J13">
        <f t="shared" si="1"/>
        <v>0.46800000000000042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Donovan Webb</dc:creator>
  <cp:lastModifiedBy>Donovan Webb</cp:lastModifiedBy>
  <dcterms:created xsi:type="dcterms:W3CDTF">2026-09-19T19:30:22Z</dcterms:created>
  <dcterms:modified xsi:type="dcterms:W3CDTF">2026-09-22T08:56:35Z</dcterms:modified>
</cp:coreProperties>
</file>